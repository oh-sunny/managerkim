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c51d00fc6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상" sheetId="1" r:id="R2bbf0e4c33ee4d61"/>
    <x:sheet xmlns:r="http://schemas.openxmlformats.org/officeDocument/2006/relationships" name="이력" sheetId="2" r:id="R59761b31513b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313A"/>
      <x:name val="Arial"/>
    </x:font>
    <x:font>
      <x:b/>
      <x:sz val="10"/>
      <x:color rgb="FFFFFFFF"/>
      <x:name val="Arial"/>
    </x:font>
    <x:font>
      <x:sz val="10"/>
      <x:color rgb="FF345B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D4A"/>
      </x:patternFill>
    </x:fill>
    <x:fill>
      <x:patternFill patternType="solid">
        <x:fgColor rgb="FFF4F7F6"/>
      </x:patternFill>
    </x:fill>
    <x:fill>
      <x:patternFill patternType="solid">
        <x:fgColor rgb="FF42685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E2E8E7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0e9019f0b54bc2" /><Relationship Type="http://schemas.openxmlformats.org/officeDocument/2006/relationships/theme" Target="/xl/theme/theme1.xml" Id="R7e7f60491b674a6a" /><Relationship Type="http://schemas.openxmlformats.org/officeDocument/2006/relationships/sharedStrings" Target="/xl/sharedStrings.xml" Id="Reb0087370f634046" /><Relationship Type="http://schemas.openxmlformats.org/officeDocument/2006/relationships/worksheet" Target="/xl/worksheets/sheet1.xml" Id="R2bbf0e4c33ee4d61" /><Relationship Type="http://schemas.openxmlformats.org/officeDocument/2006/relationships/worksheet" Target="/xl/worksheets/sheet2.xml" Id="R59761b31513b4e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380000114440918" hidden="0" customWidth="1"/>
    <x:col min="2" max="2" width="12.5" hidden="0" customWidth="1"/>
    <x:col min="3" max="3" width="11.25" hidden="0" customWidth="1"/>
    <x:col min="4" max="4" width="20" hidden="0" customWidth="1"/>
    <x:col min="5" max="5" width="18.1299991607666" hidden="0" customWidth="1"/>
    <x:col min="6" max="6" width="14.380000114440918" hidden="0" customWidth="1"/>
  </x:cols>
  <x:sheetData>
    <x:row r="1" ht="30" customHeight="1">
      <x:c r="A1" s="5" t="str">
        <x:v>projectId</x:v>
      </x:c>
      <x:c r="B1" s="5" t="str">
        <x:v>employeeId</x:v>
      </x:c>
      <x:c r="C1" s="5" t="str">
        <x:v>required</x:v>
      </x:c>
      <x:c r="D1" s="11" t="str">
        <x:v>프로젝트명 (참고)</x:v>
      </x:c>
      <x:c r="E1" s="11" t="str">
        <x:v>동료명 (참고)</x:v>
      </x:c>
      <x:c r="F1" s="11" t="str">
        <x:v>팀 (참고)</x:v>
      </x:c>
    </x:row>
    <x:row r="2" ht="24" customHeight="1">
      <x:c r="A2" s="6" t="str">
        <x:v>health</x:v>
      </x:c>
      <x:c r="B2" s="6" t="n">
        <x:v>1</x:v>
      </x:c>
      <x:c r="C2" s="6" t="str">
        <x:v>TRUE</x:v>
      </x:c>
      <x:c r="D2" s="9" t="str">
        <x:v>연례 건강검진</x:v>
      </x:c>
      <x:c r="E2" s="9" t="str">
        <x:v>김서연 (예시)</x:v>
      </x:c>
      <x:c r="F2" s="9" t="str">
        <x:v>마케팅팀</x:v>
      </x:c>
    </x:row>
    <x:row r="3" ht="24" customHeight="1">
      <x:c r="A3" s="6" t="str">
        <x:v>health</x:v>
      </x:c>
      <x:c r="B3" s="6" t="n">
        <x:v>2</x:v>
      </x:c>
      <x:c r="C3" s="6" t="str">
        <x:v>FALSE</x:v>
      </x:c>
      <x:c r="D3" s="9" t="str">
        <x:v>연례 건강검진</x:v>
      </x:c>
      <x:c r="E3" s="9" t="str">
        <x:v>김지훈 (예시)</x:v>
      </x:c>
      <x:c r="F3" s="9" t="str">
        <x:v>개발팀</x:v>
      </x:c>
    </x:row>
    <x:row r="4" ht="24" customHeight="1">
      <x:c r="A4" s="6" t="str">
        <x:v>health</x:v>
      </x:c>
      <x:c r="B4" s="6" t="n">
        <x:v>3</x:v>
      </x:c>
      <x:c r="C4" s="6" t="str">
        <x:v>FALSE</x:v>
      </x:c>
      <x:c r="D4" s="9" t="str">
        <x:v>연례 건강검진</x:v>
      </x:c>
      <x:c r="E4" s="9" t="str">
        <x:v>김민지 (예시)</x:v>
      </x:c>
      <x:c r="F4" s="9" t="str">
        <x:v>운영팀</x:v>
      </x:c>
    </x:row>
    <x:row r="5" ht="24" customHeight="1">
      <x:c r="A5" s="6" t="str">
        <x:v>health</x:v>
      </x:c>
      <x:c r="B5" s="6" t="n">
        <x:v>4</x:v>
      </x:c>
      <x:c r="C5" s="6" t="str">
        <x:v>TRUE</x:v>
      </x:c>
      <x:c r="D5" s="9" t="str">
        <x:v>연례 건강검진</x:v>
      </x:c>
      <x:c r="E5" s="9" t="str">
        <x:v>김도윤 (예시)</x:v>
      </x:c>
      <x:c r="F5" s="9" t="str">
        <x:v>디자인팀</x:v>
      </x:c>
    </x:row>
    <x:row r="6" ht="24" customHeight="1">
      <x:c r="A6" s="6" t="str">
        <x:v>health</x:v>
      </x:c>
      <x:c r="B6" s="6" t="n">
        <x:v>5</x:v>
      </x:c>
      <x:c r="C6" s="6" t="str">
        <x:v>FALSE</x:v>
      </x:c>
      <x:c r="D6" s="9" t="str">
        <x:v>연례 건강검진</x:v>
      </x:c>
      <x:c r="E6" s="9" t="str">
        <x:v>김하은 (예시)</x:v>
      </x:c>
      <x:c r="F6" s="9" t="str">
        <x:v>마케팅팀</x:v>
      </x:c>
    </x:row>
    <x:row r="7" ht="24" customHeight="1">
      <x:c r="A7" s="6" t="str">
        <x:v>health</x:v>
      </x:c>
      <x:c r="B7" s="6" t="n">
        <x:v>6</x:v>
      </x:c>
      <x:c r="C7" s="6" t="str">
        <x:v>FALSE</x:v>
      </x:c>
      <x:c r="D7" s="9" t="str">
        <x:v>연례 건강검진</x:v>
      </x:c>
      <x:c r="E7" s="9" t="str">
        <x:v>김시우 (예시)</x:v>
      </x:c>
      <x:c r="F7" s="9" t="str">
        <x:v>개발팀</x:v>
      </x:c>
    </x:row>
    <x:row r="8" ht="24" customHeight="1">
      <x:c r="A8" s="6" t="str">
        <x:v>health</x:v>
      </x:c>
      <x:c r="B8" s="6" t="n">
        <x:v>7</x:v>
      </x:c>
      <x:c r="C8" s="6" t="str">
        <x:v>FALSE</x:v>
      </x:c>
      <x:c r="D8" s="9" t="str">
        <x:v>연례 건강검진</x:v>
      </x:c>
      <x:c r="E8" s="9" t="str">
        <x:v>김유진 (예시)</x:v>
      </x:c>
      <x:c r="F8" s="9" t="str">
        <x:v>운영팀</x:v>
      </x:c>
    </x:row>
    <x:row r="9" ht="24" customHeight="1">
      <x:c r="A9" s="6" t="str">
        <x:v>health</x:v>
      </x:c>
      <x:c r="B9" s="6" t="n">
        <x:v>8</x:v>
      </x:c>
      <x:c r="C9" s="6" t="str">
        <x:v>FALSE</x:v>
      </x:c>
      <x:c r="D9" s="9" t="str">
        <x:v>연례 건강검진</x:v>
      </x:c>
      <x:c r="E9" s="9" t="str">
        <x:v>김현우 (예시)</x:v>
      </x:c>
      <x:c r="F9" s="9" t="str">
        <x:v>디자인팀</x:v>
      </x:c>
    </x:row>
    <x:row r="10" ht="24" customHeight="1">
      <x:c r="A10" s="6" t="str">
        <x:v>health</x:v>
      </x:c>
      <x:c r="B10" s="6" t="n">
        <x:v>9</x:v>
      </x:c>
      <x:c r="C10" s="6" t="str">
        <x:v>TRUE</x:v>
      </x:c>
      <x:c r="D10" s="9" t="str">
        <x:v>연례 건강검진</x:v>
      </x:c>
      <x:c r="E10" s="9" t="str">
        <x:v>김지민 (예시)</x:v>
      </x:c>
      <x:c r="F10" s="9" t="str">
        <x:v>마케팅팀</x:v>
      </x:c>
    </x:row>
    <x:row r="11" ht="24" customHeight="1">
      <x:c r="A11" s="6" t="str">
        <x:v>health</x:v>
      </x:c>
      <x:c r="B11" s="6" t="n">
        <x:v>10</x:v>
      </x:c>
      <x:c r="C11" s="6" t="str">
        <x:v>FALSE</x:v>
      </x:c>
      <x:c r="D11" s="9" t="str">
        <x:v>연례 건강검진</x:v>
      </x:c>
      <x:c r="E11" s="9" t="str">
        <x:v>김수빈 (예시)</x:v>
      </x:c>
      <x:c r="F11" s="9" t="str">
        <x:v>개발팀</x:v>
      </x:c>
    </x:row>
    <x:row r="12" ht="24" customHeight="1">
      <x:c r="A12" s="6" t="str">
        <x:v>health</x:v>
      </x:c>
      <x:c r="B12" s="6" t="n">
        <x:v>11</x:v>
      </x:c>
      <x:c r="C12" s="6" t="str">
        <x:v>FALSE</x:v>
      </x:c>
      <x:c r="D12" s="9" t="str">
        <x:v>연례 건강검진</x:v>
      </x:c>
      <x:c r="E12" s="9" t="str">
        <x:v>김예준 (예시)</x:v>
      </x:c>
      <x:c r="F12" s="9" t="str">
        <x:v>운영팀</x:v>
      </x:c>
    </x:row>
    <x:row r="13" ht="24" customHeight="1">
      <x:c r="A13" s="6" t="str">
        <x:v>health</x:v>
      </x:c>
      <x:c r="B13" s="6" t="n">
        <x:v>12</x:v>
      </x:c>
      <x:c r="C13" s="6" t="str">
        <x:v>TRUE</x:v>
      </x:c>
      <x:c r="D13" s="9" t="str">
        <x:v>연례 건강검진</x:v>
      </x:c>
      <x:c r="E13" s="9" t="str">
        <x:v>김서윤 (예시)</x:v>
      </x:c>
      <x:c r="F13" s="9" t="str">
        <x:v>디자인팀</x:v>
      </x:c>
    </x:row>
    <x:row r="14" ht="24" customHeight="1">
      <x:c r="A14" s="6" t="str">
        <x:v>workshop</x:v>
      </x:c>
      <x:c r="B14" s="6" t="n">
        <x:v>1</x:v>
      </x:c>
      <x:c r="C14" s="6" t="str">
        <x:v>FALSE</x:v>
      </x:c>
      <x:c r="D14" s="9" t="str">
        <x:v>가을 워크숍</x:v>
      </x:c>
      <x:c r="E14" s="9" t="str">
        <x:v>김서연 (예시)</x:v>
      </x:c>
      <x:c r="F14" s="9" t="str">
        <x:v>마케팅팀</x:v>
      </x:c>
    </x:row>
    <x:row r="15" ht="24" customHeight="1">
      <x:c r="A15" s="6" t="str">
        <x:v>workshop</x:v>
      </x:c>
      <x:c r="B15" s="6" t="n">
        <x:v>2</x:v>
      </x:c>
      <x:c r="C15" s="6" t="str">
        <x:v>TRUE</x:v>
      </x:c>
      <x:c r="D15" s="9" t="str">
        <x:v>가을 워크숍</x:v>
      </x:c>
      <x:c r="E15" s="9" t="str">
        <x:v>김지훈 (예시)</x:v>
      </x:c>
      <x:c r="F15" s="9" t="str">
        <x:v>개발팀</x:v>
      </x:c>
    </x:row>
    <x:row r="16" ht="24" customHeight="1">
      <x:c r="A16" s="6" t="str">
        <x:v>workshop</x:v>
      </x:c>
      <x:c r="B16" s="6" t="n">
        <x:v>3</x:v>
      </x:c>
      <x:c r="C16" s="6" t="str">
        <x:v>FALSE</x:v>
      </x:c>
      <x:c r="D16" s="9" t="str">
        <x:v>가을 워크숍</x:v>
      </x:c>
      <x:c r="E16" s="9" t="str">
        <x:v>김민지 (예시)</x:v>
      </x:c>
      <x:c r="F16" s="9" t="str">
        <x:v>운영팀</x:v>
      </x:c>
    </x:row>
    <x:row r="17" ht="24" customHeight="1">
      <x:c r="A17" s="6" t="str">
        <x:v>workshop</x:v>
      </x:c>
      <x:c r="B17" s="6" t="n">
        <x:v>4</x:v>
      </x:c>
      <x:c r="C17" s="6" t="str">
        <x:v>FALSE</x:v>
      </x:c>
      <x:c r="D17" s="9" t="str">
        <x:v>가을 워크숍</x:v>
      </x:c>
      <x:c r="E17" s="9" t="str">
        <x:v>김도윤 (예시)</x:v>
      </x:c>
      <x:c r="F17" s="9" t="str">
        <x:v>디자인팀</x:v>
      </x:c>
    </x:row>
    <x:row r="18" ht="24" customHeight="1">
      <x:c r="A18" s="6" t="str">
        <x:v>workshop</x:v>
      </x:c>
      <x:c r="B18" s="6" t="n">
        <x:v>5</x:v>
      </x:c>
      <x:c r="C18" s="6" t="str">
        <x:v>FALSE</x:v>
      </x:c>
      <x:c r="D18" s="9" t="str">
        <x:v>가을 워크숍</x:v>
      </x:c>
      <x:c r="E18" s="9" t="str">
        <x:v>김하은 (예시)</x:v>
      </x:c>
      <x:c r="F18" s="9" t="str">
        <x:v>마케팅팀</x:v>
      </x:c>
    </x:row>
    <x:row r="19" ht="24" customHeight="1">
      <x:c r="A19" s="6" t="str">
        <x:v>workshop</x:v>
      </x:c>
      <x:c r="B19" s="6" t="n">
        <x:v>6</x:v>
      </x:c>
      <x:c r="C19" s="6" t="str">
        <x:v>TRUE</x:v>
      </x:c>
      <x:c r="D19" s="9" t="str">
        <x:v>가을 워크숍</x:v>
      </x:c>
      <x:c r="E19" s="9" t="str">
        <x:v>김시우 (예시)</x:v>
      </x:c>
      <x:c r="F19" s="9" t="str">
        <x:v>개발팀</x:v>
      </x:c>
    </x:row>
    <x:row r="20" ht="24" customHeight="1">
      <x:c r="A20" s="6" t="str">
        <x:v>workshop</x:v>
      </x:c>
      <x:c r="B20" s="6" t="n">
        <x:v>7</x:v>
      </x:c>
      <x:c r="C20" s="6" t="str">
        <x:v>FALSE</x:v>
      </x:c>
      <x:c r="D20" s="9" t="str">
        <x:v>가을 워크숍</x:v>
      </x:c>
      <x:c r="E20" s="9" t="str">
        <x:v>김유진 (예시)</x:v>
      </x:c>
      <x:c r="F20" s="9" t="str">
        <x:v>운영팀</x:v>
      </x:c>
    </x:row>
    <x:row r="21" ht="24" customHeight="1">
      <x:c r="A21" s="6" t="str">
        <x:v>workshop</x:v>
      </x:c>
      <x:c r="B21" s="6" t="n">
        <x:v>8</x:v>
      </x:c>
      <x:c r="C21" s="6" t="str">
        <x:v>FALSE</x:v>
      </x:c>
      <x:c r="D21" s="9" t="str">
        <x:v>가을 워크숍</x:v>
      </x:c>
      <x:c r="E21" s="9" t="str">
        <x:v>김현우 (예시)</x:v>
      </x:c>
      <x:c r="F21" s="9" t="str">
        <x:v>디자인팀</x:v>
      </x:c>
    </x:row>
    <x:row r="22" ht="24" customHeight="1">
      <x:c r="A22" s="6" t="str">
        <x:v>event</x:v>
      </x:c>
      <x:c r="B22" s="6" t="n">
        <x:v>5</x:v>
      </x:c>
      <x:c r="C22" s="6" t="str">
        <x:v>FALSE</x:v>
      </x:c>
      <x:c r="D22" s="9" t="str">
        <x:v>사내 사진 공모전</x:v>
      </x:c>
      <x:c r="E22" s="9" t="str">
        <x:v>김하은 (예시)</x:v>
      </x:c>
      <x:c r="F22" s="9" t="str">
        <x:v>마케팅팀</x:v>
      </x:c>
    </x:row>
    <x:row r="23" ht="24" customHeight="1">
      <x:c r="A23" s="6" t="str">
        <x:v>event</x:v>
      </x:c>
      <x:c r="B23" s="6" t="n">
        <x:v>6</x:v>
      </x:c>
      <x:c r="C23" s="6" t="str">
        <x:v>FALSE</x:v>
      </x:c>
      <x:c r="D23" s="9" t="str">
        <x:v>사내 사진 공모전</x:v>
      </x:c>
      <x:c r="E23" s="9" t="str">
        <x:v>김시우 (예시)</x:v>
      </x:c>
      <x:c r="F23" s="9" t="str">
        <x:v>개발팀</x:v>
      </x:c>
    </x:row>
    <x:row r="24" ht="24" customHeight="1">
      <x:c r="A24" s="6" t="str">
        <x:v>event</x:v>
      </x:c>
      <x:c r="B24" s="6" t="n">
        <x:v>7</x:v>
      </x:c>
      <x:c r="C24" s="6" t="str">
        <x:v>FALSE</x:v>
      </x:c>
      <x:c r="D24" s="9" t="str">
        <x:v>사내 사진 공모전</x:v>
      </x:c>
      <x:c r="E24" s="9" t="str">
        <x:v>김유진 (예시)</x:v>
      </x:c>
      <x:c r="F24" s="9" t="str">
        <x:v>운영팀</x:v>
      </x:c>
    </x:row>
    <x:row r="25" ht="24" customHeight="1">
      <x:c r="A25" s="6" t="str">
        <x:v>event</x:v>
      </x:c>
      <x:c r="B25" s="6" t="n">
        <x:v>8</x:v>
      </x:c>
      <x:c r="C25" s="6" t="str">
        <x:v>FALSE</x:v>
      </x:c>
      <x:c r="D25" s="9" t="str">
        <x:v>사내 사진 공모전</x:v>
      </x:c>
      <x:c r="E25" s="9" t="str">
        <x:v>김현우 (예시)</x:v>
      </x:c>
      <x:c r="F25" s="9" t="str">
        <x:v>디자인팀</x:v>
      </x:c>
    </x:row>
    <x:row r="26" ht="24" customHeight="1">
      <x:c r="A26" s="6" t="str">
        <x:v>event</x:v>
      </x:c>
      <x:c r="B26" s="6" t="n">
        <x:v>9</x:v>
      </x:c>
      <x:c r="C26" s="6" t="str">
        <x:v>FALSE</x:v>
      </x:c>
      <x:c r="D26" s="9" t="str">
        <x:v>사내 사진 공모전</x:v>
      </x:c>
      <x:c r="E26" s="9" t="str">
        <x:v>김지민 (예시)</x:v>
      </x:c>
      <x:c r="F26" s="9" t="str">
        <x:v>마케팅팀</x:v>
      </x:c>
    </x:row>
    <x:row r="27" ht="24" customHeight="1">
      <x:c r="A27" s="7" t="str">
        <x:v>event</x:v>
      </x:c>
      <x:c r="B27" s="7" t="n">
        <x:v>10</x:v>
      </x:c>
      <x:c r="C27" s="7" t="str">
        <x:v>FALSE</x:v>
      </x:c>
      <x:c r="D27" s="10" t="str">
        <x:v>사내 사진 공모전</x:v>
      </x:c>
      <x:c r="E27" s="10" t="str">
        <x:v>김수빈 (예시)</x:v>
      </x:c>
      <x:c r="F27" s="10" t="str">
        <x:v>개발팀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.75" hidden="0" customWidth="1"/>
    <x:col min="3" max="3" width="12.5" hidden="0" customWidth="1"/>
    <x:col min="4" max="4" width="12.5" hidden="0" customWidth="1"/>
    <x:col min="5" max="5" width="32.5" hidden="0" customWidth="1"/>
    <x:col min="6" max="6" width="15.630000114440918" hidden="0" customWidth="1"/>
    <x:col min="7" max="7" width="18.1299991607666" hidden="0" customWidth="1"/>
    <x:col min="8" max="8" width="15" hidden="0" customWidth="1"/>
  </x:cols>
  <x:sheetData>
    <x:row r="1" ht="30" customHeight="1">
      <x:c r="A1" s="5" t="str">
        <x:v>sourceEventId</x:v>
      </x:c>
      <x:c r="B1" s="5" t="str">
        <x:v>projectId</x:v>
      </x:c>
      <x:c r="C1" s="5" t="str">
        <x:v>employeeId</x:v>
      </x:c>
      <x:c r="D1" s="5" t="str">
        <x:v>status</x:v>
      </x:c>
      <x:c r="E1" s="5" t="str">
        <x:v>occurredAt</x:v>
      </x:c>
      <x:c r="F1" s="11" t="str">
        <x:v>상태 설명 (참고)</x:v>
      </x:c>
      <x:c r="G1" s="11" t="str">
        <x:v>동료명 (참고)</x:v>
      </x:c>
      <x:c r="H1" s="11" t="str">
        <x:v>사유 (참고)</x:v>
      </x:c>
    </x:row>
    <x:row r="2" ht="24" customHeight="1">
      <x:c r="A2" s="12" t="str">
        <x:v>H-001</x:v>
      </x:c>
      <x:c r="B2" s="6" t="str">
        <x:v>health</x:v>
      </x:c>
      <x:c r="C2" s="6" t="n">
        <x:v>1</x:v>
      </x:c>
      <x:c r="D2" s="6" t="str">
        <x:v>applied</x:v>
      </x:c>
      <x:c r="E2" s="6" t="n">
        <x:f>"2026-09-15T09:10:00"&amp;"+09:00"</x:f>
        <x:v>46280.006944444445</x:v>
      </x:c>
      <x:c r="F2" s="9" t="str">
        <x:v>신청 접수</x:v>
      </x:c>
      <x:c r="G2" s="9" t="str">
        <x:v>김서연 (예시)</x:v>
      </x:c>
      <x:c r="H2" s="9" t="str">
        <x:v>첫 신청</x:v>
      </x:c>
    </x:row>
    <x:row r="3" ht="24" customHeight="1">
      <x:c r="A3" s="12" t="str">
        <x:v>H-002</x:v>
      </x:c>
      <x:c r="B3" s="6" t="str">
        <x:v>health</x:v>
      </x:c>
      <x:c r="C3" s="6" t="n">
        <x:v>1</x:v>
      </x:c>
      <x:c r="D3" s="6" t="str">
        <x:v>confirmed</x:v>
      </x:c>
      <x:c r="E3" s="6" t="n">
        <x:f>"2026-09-16T10:00:00"&amp;"+09:00"</x:f>
        <x:v>46281.041666666664</x:v>
      </x:c>
      <x:c r="F3" s="9" t="str">
        <x:v>확정</x:v>
      </x:c>
      <x:c r="G3" s="9" t="str">
        <x:v>김서연 (예시)</x:v>
      </x:c>
      <x:c r="H3" s="9" t="str">
        <x:v>신청 확정</x:v>
      </x:c>
    </x:row>
    <x:row r="4" ht="24" customHeight="1">
      <x:c r="A4" s="12" t="str">
        <x:v>H-003</x:v>
      </x:c>
      <x:c r="B4" s="6" t="str">
        <x:v>health</x:v>
      </x:c>
      <x:c r="C4" s="6" t="n">
        <x:v>2</x:v>
      </x:c>
      <x:c r="D4" s="6" t="str">
        <x:v>applied</x:v>
      </x:c>
      <x:c r="E4" s="6" t="n">
        <x:f>"2026-09-17T11:00:00"&amp;"+09:00"</x:f>
        <x:v>46282.083333333336</x:v>
      </x:c>
      <x:c r="F4" s="9" t="str">
        <x:v>신청 접수</x:v>
      </x:c>
      <x:c r="G4" s="9" t="str">
        <x:v>김지훈 (예시)</x:v>
      </x:c>
      <x:c r="H4" s="9" t="str">
        <x:v>첫 신청</x:v>
      </x:c>
    </x:row>
    <x:row r="5" ht="24" customHeight="1">
      <x:c r="A5" s="12" t="str">
        <x:v>H-004</x:v>
      </x:c>
      <x:c r="B5" s="6" t="str">
        <x:v>health</x:v>
      </x:c>
      <x:c r="C5" s="6" t="n">
        <x:v>2</x:v>
      </x:c>
      <x:c r="D5" s="6" t="str">
        <x:v>cancelled</x:v>
      </x:c>
      <x:c r="E5" s="6" t="n">
        <x:f>"2026-09-20T12:00:00"&amp;"+09:00"</x:f>
        <x:v>46285.125</x:v>
      </x:c>
      <x:c r="F5" s="9" t="str">
        <x:v>신청 취소</x:v>
      </x:c>
      <x:c r="G5" s="9" t="str">
        <x:v>김지훈 (예시)</x:v>
      </x:c>
      <x:c r="H5" s="9" t="str">
        <x:v>일정 변경</x:v>
      </x:c>
    </x:row>
    <x:row r="6" ht="24" customHeight="1">
      <x:c r="A6" s="12" t="str">
        <x:v>H-005</x:v>
      </x:c>
      <x:c r="B6" s="6" t="str">
        <x:v>health</x:v>
      </x:c>
      <x:c r="C6" s="6" t="n">
        <x:v>2</x:v>
      </x:c>
      <x:c r="D6" s="6" t="str">
        <x:v>applied</x:v>
      </x:c>
      <x:c r="E6" s="6" t="n">
        <x:f>"2026-10-01T13:00:00"&amp;"+09:00"</x:f>
        <x:v>46296.166666666664</x:v>
      </x:c>
      <x:c r="F6" s="9" t="str">
        <x:v>신청 접수</x:v>
      </x:c>
      <x:c r="G6" s="9" t="str">
        <x:v>김지훈 (예시)</x:v>
      </x:c>
      <x:c r="H6" s="9" t="str">
        <x:v>다시 신청</x:v>
      </x:c>
    </x:row>
    <x:row r="7" ht="24" customHeight="1">
      <x:c r="A7" s="12" t="str">
        <x:v>H-006</x:v>
      </x:c>
      <x:c r="B7" s="6" t="str">
        <x:v>health</x:v>
      </x:c>
      <x:c r="C7" s="6" t="n">
        <x:v>2</x:v>
      </x:c>
      <x:c r="D7" s="6" t="str">
        <x:v>confirmed</x:v>
      </x:c>
      <x:c r="E7" s="6" t="n">
        <x:f>"2026-10-02T09:00:00"&amp;"+09:00"</x:f>
        <x:v>46297</x:v>
      </x:c>
      <x:c r="F7" s="9" t="str">
        <x:v>확정</x:v>
      </x:c>
      <x:c r="G7" s="9" t="str">
        <x:v>김지훈 (예시)</x:v>
      </x:c>
      <x:c r="H7" s="9" t="str">
        <x:v>재신청 확정</x:v>
      </x:c>
    </x:row>
    <x:row r="8" ht="24" customHeight="1">
      <x:c r="A8" s="12" t="str">
        <x:v>H-007</x:v>
      </x:c>
      <x:c r="B8" s="6" t="str">
        <x:v>health</x:v>
      </x:c>
      <x:c r="C8" s="6" t="n">
        <x:v>3</x:v>
      </x:c>
      <x:c r="D8" s="6" t="str">
        <x:v>confirmed</x:v>
      </x:c>
      <x:c r="E8" s="6" t="n">
        <x:f>"2026-09-18T14:00:00"&amp;"+09:00"</x:f>
        <x:v>46283.208333333336</x:v>
      </x:c>
      <x:c r="F8" s="9" t="str">
        <x:v>확정</x:v>
      </x:c>
      <x:c r="G8" s="9" t="str">
        <x:v>김민지 (예시)</x:v>
      </x:c>
      <x:c r="H8" s="9" t="str">
        <x:v>신청 확정</x:v>
      </x:c>
    </x:row>
    <x:row r="9" ht="24" customHeight="1">
      <x:c r="A9" s="12" t="str">
        <x:v>H-008</x:v>
      </x:c>
      <x:c r="B9" s="6" t="str">
        <x:v>health</x:v>
      </x:c>
      <x:c r="C9" s="6" t="n">
        <x:v>4</x:v>
      </x:c>
      <x:c r="D9" s="6" t="str">
        <x:v>applied</x:v>
      </x:c>
      <x:c r="E9" s="6" t="n">
        <x:f>"2026-09-19T15:00:00"&amp;"+09:00"</x:f>
        <x:v>46284.25</x:v>
      </x:c>
      <x:c r="F9" s="9" t="str">
        <x:v>신청 접수</x:v>
      </x:c>
      <x:c r="G9" s="9" t="str">
        <x:v>김도윤 (예시)</x:v>
      </x:c>
      <x:c r="H9" s="9" t="str">
        <x:v>첫 신청</x:v>
      </x:c>
    </x:row>
    <x:row r="10" ht="24" customHeight="1">
      <x:c r="A10" s="12" t="str">
        <x:v>H-009</x:v>
      </x:c>
      <x:c r="B10" s="6" t="str">
        <x:v>health</x:v>
      </x:c>
      <x:c r="C10" s="6" t="n">
        <x:v>4</x:v>
      </x:c>
      <x:c r="D10" s="6" t="str">
        <x:v>cancelled</x:v>
      </x:c>
      <x:c r="E10" s="6" t="n">
        <x:f>"2026-10-03T10:00:00"&amp;"+09:00"</x:f>
        <x:v>46298.041666666664</x:v>
      </x:c>
      <x:c r="F10" s="9" t="str">
        <x:v>신청 취소</x:v>
      </x:c>
      <x:c r="G10" s="9" t="str">
        <x:v>김도윤 (예시)</x:v>
      </x:c>
      <x:c r="H10" s="9" t="str">
        <x:v>본인 요청</x:v>
      </x:c>
    </x:row>
    <x:row r="11" ht="24" customHeight="1">
      <x:c r="A11" s="12" t="str">
        <x:v>H-010</x:v>
      </x:c>
      <x:c r="B11" s="6" t="str">
        <x:v>health</x:v>
      </x:c>
      <x:c r="C11" s="6" t="n">
        <x:v>5</x:v>
      </x:c>
      <x:c r="D11" s="6" t="str">
        <x:v>confirmed</x:v>
      </x:c>
      <x:c r="E11" s="6" t="n">
        <x:f>"2026-09-22T09:20:00"&amp;"+09:00"</x:f>
        <x:v>46287.01388888889</x:v>
      </x:c>
      <x:c r="F11" s="9" t="str">
        <x:v>확정</x:v>
      </x:c>
      <x:c r="G11" s="9" t="str">
        <x:v>김하은 (예시)</x:v>
      </x:c>
      <x:c r="H11" s="9" t="str">
        <x:v>신청 확정</x:v>
      </x:c>
    </x:row>
    <x:row r="12" ht="24" customHeight="1">
      <x:c r="A12" s="12" t="str">
        <x:v>H-011</x:v>
      </x:c>
      <x:c r="B12" s="6" t="str">
        <x:v>health</x:v>
      </x:c>
      <x:c r="C12" s="6" t="n">
        <x:v>6</x:v>
      </x:c>
      <x:c r="D12" s="6" t="str">
        <x:v>confirmed</x:v>
      </x:c>
      <x:c r="E12" s="6" t="n">
        <x:f>"2026-09-23T10:30:00"&amp;"+09:00"</x:f>
        <x:v>46288.0625</x:v>
      </x:c>
      <x:c r="F12" s="9" t="str">
        <x:v>확정</x:v>
      </x:c>
      <x:c r="G12" s="9" t="str">
        <x:v>김시우 (예시)</x:v>
      </x:c>
      <x:c r="H12" s="9" t="str">
        <x:v>신청 확정</x:v>
      </x:c>
    </x:row>
    <x:row r="13" ht="24" customHeight="1">
      <x:c r="A13" s="12" t="str">
        <x:v>W-001</x:v>
      </x:c>
      <x:c r="B13" s="6" t="str">
        <x:v>workshop</x:v>
      </x:c>
      <x:c r="C13" s="6" t="n">
        <x:v>1</x:v>
      </x:c>
      <x:c r="D13" s="6" t="str">
        <x:v>confirmed</x:v>
      </x:c>
      <x:c r="E13" s="6" t="n">
        <x:f>"2026-09-27T10:00:00"&amp;"+09:00"</x:f>
        <x:v>46292.041666666664</x:v>
      </x:c>
      <x:c r="F13" s="9" t="str">
        <x:v>확정</x:v>
      </x:c>
      <x:c r="G13" s="9" t="str">
        <x:v>김서연 (예시)</x:v>
      </x:c>
      <x:c r="H13" s="9" t="str">
        <x:v>신청 확정</x:v>
      </x:c>
    </x:row>
    <x:row r="14" ht="24" customHeight="1">
      <x:c r="A14" s="12" t="str">
        <x:v>W-002</x:v>
      </x:c>
      <x:c r="B14" s="6" t="str">
        <x:v>workshop</x:v>
      </x:c>
      <x:c r="C14" s="6" t="n">
        <x:v>2</x:v>
      </x:c>
      <x:c r="D14" s="6" t="str">
        <x:v>applied</x:v>
      </x:c>
      <x:c r="E14" s="6" t="n">
        <x:f>"2026-09-29T11:00:00"&amp;"+09:00"</x:f>
        <x:v>46294.083333333336</x:v>
      </x:c>
      <x:c r="F14" s="9" t="str">
        <x:v>신청 접수</x:v>
      </x:c>
      <x:c r="G14" s="9" t="str">
        <x:v>김지훈 (예시)</x:v>
      </x:c>
      <x:c r="H14" s="9" t="str">
        <x:v>신청 접수</x:v>
      </x:c>
    </x:row>
    <x:row r="15" ht="24" customHeight="1">
      <x:c r="A15" s="12" t="str">
        <x:v>W-003</x:v>
      </x:c>
      <x:c r="B15" s="6" t="str">
        <x:v>workshop</x:v>
      </x:c>
      <x:c r="C15" s="6" t="n">
        <x:v>3</x:v>
      </x:c>
      <x:c r="D15" s="6" t="str">
        <x:v>confirmed</x:v>
      </x:c>
      <x:c r="E15" s="6" t="n">
        <x:f>"2026-09-30T12:00:00"&amp;"+09:00"</x:f>
        <x:v>46295.125</x:v>
      </x:c>
      <x:c r="F15" s="9" t="str">
        <x:v>확정</x:v>
      </x:c>
      <x:c r="G15" s="9" t="str">
        <x:v>김민지 (예시)</x:v>
      </x:c>
      <x:c r="H15" s="9" t="str">
        <x:v>신청 확정</x:v>
      </x:c>
    </x:row>
    <x:row r="16" ht="24" customHeight="1">
      <x:c r="A16" s="12" t="str">
        <x:v>W-004</x:v>
      </x:c>
      <x:c r="B16" s="6" t="str">
        <x:v>workshop</x:v>
      </x:c>
      <x:c r="C16" s="6" t="n">
        <x:v>6</x:v>
      </x:c>
      <x:c r="D16" s="6" t="str">
        <x:v>applied</x:v>
      </x:c>
      <x:c r="E16" s="6" t="n">
        <x:f>"2026-10-01T09:30:00"&amp;"+09:00"</x:f>
        <x:v>46296.020833333336</x:v>
      </x:c>
      <x:c r="F16" s="9" t="str">
        <x:v>신청 접수</x:v>
      </x:c>
      <x:c r="G16" s="9" t="str">
        <x:v>김시우 (예시)</x:v>
      </x:c>
      <x:c r="H16" s="9" t="str">
        <x:v>신청 접수</x:v>
      </x:c>
    </x:row>
    <x:row r="17" ht="24" customHeight="1">
      <x:c r="A17" s="12" t="str">
        <x:v>W-005</x:v>
      </x:c>
      <x:c r="B17" s="6" t="str">
        <x:v>workshop</x:v>
      </x:c>
      <x:c r="C17" s="6" t="n">
        <x:v>6</x:v>
      </x:c>
      <x:c r="D17" s="6" t="str">
        <x:v>cancelled</x:v>
      </x:c>
      <x:c r="E17" s="6" t="n">
        <x:f>"2026-10-03T16:00:00"&amp;"+09:00"</x:f>
        <x:v>46298.291666666664</x:v>
      </x:c>
      <x:c r="F17" s="9" t="str">
        <x:v>신청 취소</x:v>
      </x:c>
      <x:c r="G17" s="9" t="str">
        <x:v>김시우 (예시)</x:v>
      </x:c>
      <x:c r="H17" s="9" t="str">
        <x:v>참여 불가</x:v>
      </x:c>
    </x:row>
    <x:row r="18" ht="24" customHeight="1">
      <x:c r="A18" s="13" t="str">
        <x:v>E-001</x:v>
      </x:c>
      <x:c r="B18" s="7" t="str">
        <x:v>event</x:v>
      </x:c>
      <x:c r="C18" s="7" t="n">
        <x:v>5</x:v>
      </x:c>
      <x:c r="D18" s="7" t="str">
        <x:v>applied</x:v>
      </x:c>
      <x:c r="E18" s="7" t="n">
        <x:f>"2026-10-04T10:00:00"&amp;"+09:00"</x:f>
        <x:v>46299.041666666664</x:v>
      </x:c>
      <x:c r="F18" s="10" t="str">
        <x:v>신청 접수</x:v>
      </x:c>
      <x:c r="G18" s="10" t="str">
        <x:v>김하은 (예시)</x:v>
      </x:c>
      <x:c r="H18" s="10" t="str">
        <x:v>작품 제출</x:v>
      </x:c>
    </x:row>
  </x:sheetData>
  <x:pageMargins left="0.7" right="0.7" top="0.75" bottom="0.75" header="0.3" footer="0.3"/>
</x:worksheet>
</file>